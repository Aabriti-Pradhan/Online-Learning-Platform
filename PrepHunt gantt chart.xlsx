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4B6804D-E3DA-4EA6-AB2F-329865EFFA46}" xr6:coauthVersionLast="47" xr6:coauthVersionMax="47" xr10:uidLastSave="{00000000-0000-0000-0000-000000000000}"/>
  <bookViews>
    <workbookView xWindow="0" yWindow="300" windowWidth="23256" windowHeight="12576" xr2:uid="{4A4A4542-6E4D-4943-BD0E-6F22009D8DB4}"/>
  </bookViews>
  <sheets>
    <sheet name="Sheet1" sheetId="1" r:id="rId1"/>
  </sheets>
  <definedNames>
    <definedName name="_xlnm.Print_Area" localSheetId="0">Sheet1!$B$4:$BK$61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 s="1"/>
  <c r="I5" i="1"/>
  <c r="J5" i="1"/>
  <c r="K5" i="1" s="1"/>
  <c r="L5" i="1" s="1"/>
  <c r="M5" i="1" s="1"/>
  <c r="N5" i="1" s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O5" i="1"/>
  <c r="G61" i="1"/>
  <c r="E17" i="1"/>
  <c r="E8" i="1"/>
  <c r="F8" i="1" s="1"/>
  <c r="E9" i="1" s="1"/>
  <c r="F9" i="1" s="1"/>
  <c r="F7" i="1"/>
  <c r="E10" i="1" s="1"/>
  <c r="F10" i="1" s="1"/>
  <c r="E12" i="1" s="1"/>
  <c r="F12" i="1" l="1"/>
  <c r="G12" i="1" s="1"/>
  <c r="G7" i="1"/>
  <c r="E11" i="1"/>
  <c r="G10" i="1"/>
  <c r="G9" i="1"/>
  <c r="G8" i="1"/>
  <c r="F15" i="1"/>
  <c r="E16" i="1" s="1"/>
  <c r="E15" i="1"/>
  <c r="F14" i="1"/>
  <c r="E14" i="1"/>
  <c r="G14" i="1" l="1"/>
  <c r="F11" i="1"/>
  <c r="G11" i="1" s="1"/>
  <c r="G15" i="1"/>
  <c r="G16" i="1" l="1"/>
  <c r="E18" i="1"/>
  <c r="F18" i="1" l="1"/>
  <c r="E19" i="1" s="1"/>
  <c r="F19" i="1" s="1"/>
  <c r="E21" i="1" s="1"/>
  <c r="F21" i="1" s="1"/>
  <c r="E22" i="1" s="1"/>
  <c r="F22" i="1" s="1"/>
  <c r="E23" i="1" s="1"/>
  <c r="G17" i="1"/>
  <c r="E24" i="1" l="1"/>
  <c r="F23" i="1"/>
  <c r="G18" i="1"/>
  <c r="F24" i="1" l="1"/>
  <c r="E25" i="1" s="1"/>
  <c r="F25" i="1" s="1"/>
  <c r="E26" i="1" s="1"/>
  <c r="F26" i="1" s="1"/>
  <c r="E28" i="1" s="1"/>
  <c r="F28" i="1" s="1"/>
  <c r="E29" i="1" s="1"/>
  <c r="F29" i="1" s="1"/>
  <c r="E30" i="1" s="1"/>
  <c r="G21" i="1"/>
  <c r="G19" i="1"/>
  <c r="F30" i="1" l="1"/>
  <c r="F31" i="1" s="1"/>
  <c r="E32" i="1" s="1"/>
  <c r="F32" i="1" s="1"/>
  <c r="E33" i="1" s="1"/>
  <c r="F33" i="1" s="1"/>
  <c r="E35" i="1" s="1"/>
  <c r="E31" i="1"/>
  <c r="G22" i="1"/>
  <c r="F35" i="1" l="1"/>
  <c r="E36" i="1" s="1"/>
  <c r="F36" i="1" s="1"/>
  <c r="E37" i="1" s="1"/>
  <c r="G23" i="1"/>
  <c r="G33" i="1" l="1"/>
  <c r="E38" i="1"/>
  <c r="F37" i="1"/>
  <c r="F38" i="1" s="1"/>
  <c r="E39" i="1" s="1"/>
  <c r="F39" i="1" s="1"/>
  <c r="E40" i="1" s="1"/>
  <c r="F40" i="1" s="1"/>
  <c r="E42" i="1" s="1"/>
  <c r="G24" i="1"/>
  <c r="F42" i="1" l="1"/>
  <c r="E43" i="1" s="1"/>
  <c r="F43" i="1" s="1"/>
  <c r="E44" i="1" s="1"/>
  <c r="G25" i="1"/>
  <c r="G40" i="1" l="1"/>
  <c r="F44" i="1"/>
  <c r="F45" i="1" s="1"/>
  <c r="E46" i="1" s="1"/>
  <c r="F46" i="1" s="1"/>
  <c r="E47" i="1" s="1"/>
  <c r="F47" i="1" s="1"/>
  <c r="E49" i="1" s="1"/>
  <c r="E45" i="1"/>
  <c r="G26" i="1"/>
  <c r="F49" i="1" l="1"/>
  <c r="E50" i="1" s="1"/>
  <c r="F50" i="1" s="1"/>
  <c r="E51" i="1" s="1"/>
  <c r="G28" i="1"/>
  <c r="G47" i="1" l="1"/>
  <c r="F51" i="1"/>
  <c r="F52" i="1" s="1"/>
  <c r="E53" i="1" s="1"/>
  <c r="F53" i="1" s="1"/>
  <c r="E52" i="1"/>
  <c r="G29" i="1"/>
  <c r="E54" i="1" l="1"/>
  <c r="F54" i="1" s="1"/>
  <c r="E56" i="1"/>
  <c r="G30" i="1"/>
  <c r="F56" i="1" l="1"/>
  <c r="E57" i="1" s="1"/>
  <c r="F57" i="1" s="1"/>
  <c r="E58" i="1" s="1"/>
  <c r="G31" i="1"/>
  <c r="G54" i="1" l="1"/>
  <c r="F58" i="1"/>
  <c r="F59" i="1" s="1"/>
  <c r="E60" i="1" s="1"/>
  <c r="F60" i="1" s="1"/>
  <c r="E61" i="1" s="1"/>
  <c r="F61" i="1" s="1"/>
  <c r="E59" i="1"/>
  <c r="G32" i="1"/>
  <c r="G35" i="1" l="1"/>
  <c r="G36" i="1" l="1"/>
  <c r="G37" i="1" l="1"/>
  <c r="G38" i="1" l="1"/>
  <c r="G39" i="1" l="1"/>
  <c r="G42" i="1" l="1"/>
  <c r="G43" i="1" l="1"/>
  <c r="G44" i="1" l="1"/>
  <c r="G45" i="1" l="1"/>
  <c r="G46" i="1" l="1"/>
  <c r="G49" i="1" l="1"/>
  <c r="G50" i="1" l="1"/>
  <c r="G51" i="1" l="1"/>
  <c r="G52" i="1" l="1"/>
  <c r="G53" i="1" l="1"/>
  <c r="G56" i="1" l="1"/>
  <c r="G57" i="1" l="1"/>
  <c r="G58" i="1" l="1"/>
  <c r="G59" i="1" l="1"/>
  <c r="G60" i="1" l="1"/>
</calcChain>
</file>

<file path=xl/sharedStrings.xml><?xml version="1.0" encoding="utf-8"?>
<sst xmlns="http://schemas.openxmlformats.org/spreadsheetml/2006/main" count="79" uniqueCount="39">
  <si>
    <t>Project Start Date:</t>
  </si>
  <si>
    <t>Project Name:</t>
  </si>
  <si>
    <t>Sprints</t>
  </si>
  <si>
    <t>Start</t>
  </si>
  <si>
    <t>Finish</t>
  </si>
  <si>
    <t>Duration</t>
  </si>
  <si>
    <t>Sprint 1</t>
  </si>
  <si>
    <t>Sprint 2</t>
  </si>
  <si>
    <t>Sprint 3</t>
  </si>
  <si>
    <t>Sprint 4</t>
  </si>
  <si>
    <t>Sprint 5</t>
  </si>
  <si>
    <t>Sprint 6</t>
  </si>
  <si>
    <t>Sprint 7</t>
  </si>
  <si>
    <t>Dates</t>
  </si>
  <si>
    <t>Tasks</t>
  </si>
  <si>
    <t>Requirement Analysis</t>
  </si>
  <si>
    <t>Development</t>
  </si>
  <si>
    <t>Testing</t>
  </si>
  <si>
    <t>Retrospect</t>
  </si>
  <si>
    <t>14 Days</t>
  </si>
  <si>
    <t>Sprint 4: 
Friends feature</t>
  </si>
  <si>
    <t>Sprint 5: 
Teachers feature</t>
  </si>
  <si>
    <t>Sprint 6: 
Test feature</t>
  </si>
  <si>
    <t>Sprint 7: 
AI feature</t>
  </si>
  <si>
    <t>Product Backlog</t>
  </si>
  <si>
    <t>Feature List Down</t>
  </si>
  <si>
    <t>Sprint Backlog</t>
  </si>
  <si>
    <t>Sprint Planning</t>
  </si>
  <si>
    <t>Feedback</t>
  </si>
  <si>
    <t>Sprint Analysis</t>
  </si>
  <si>
    <t>Demo</t>
  </si>
  <si>
    <t>PrepHunt</t>
  </si>
  <si>
    <t>Sprint 2: 
Dashboard, 
Login, Registration</t>
  </si>
  <si>
    <t>Sprint 3:
PDF feature, Notes feature</t>
  </si>
  <si>
    <t>Sprint 1: 
Wireframe Design, UI/UX Design, Project Setup</t>
  </si>
  <si>
    <t>Product Analysis</t>
  </si>
  <si>
    <t>UI feasibility</t>
  </si>
  <si>
    <t>Documentation</t>
  </si>
  <si>
    <t>Refine Wireframe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</si>
</sst>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8"/>
      <name val="Aptos Narrow"/>
      <family val="2"/>
      <scheme val="minor"/>
    </font>
    <font>
      <sz val="22"/>
      <color theme="1"/>
      <name val="Times New Roman"/>
      <family val="1"/>
    </font>
    <font>
      <sz val="12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1"/>
      </right>
      <top style="thin">
        <color theme="2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2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auto="1"/>
      </left>
      <right style="thin">
        <color theme="2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auto="1"/>
      </right>
      <top style="thin">
        <color auto="1"/>
      </top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 diagonalUp="1"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 style="thin">
        <color theme="2"/>
      </diagonal>
    </border>
    <border diagonalUp="1"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/>
      </diagonal>
    </border>
    <border>
      <left style="thin">
        <color theme="2"/>
      </left>
      <right style="thin">
        <color theme="2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7" xfId="0" applyNumberFormat="1" applyFont="1" applyBorder="1" applyAlignment="1">
      <alignment vertical="center" textRotation="90"/>
    </xf>
    <xf numFmtId="164" fontId="1" fillId="3" borderId="8" xfId="0" applyNumberFormat="1" applyFont="1" applyFill="1" applyBorder="1" applyAlignment="1">
      <alignment vertical="center" textRotation="90"/>
    </xf>
    <xf numFmtId="164" fontId="1" fillId="0" borderId="8" xfId="0" applyNumberFormat="1" applyFont="1" applyBorder="1" applyAlignment="1">
      <alignment vertical="center" textRotation="90"/>
    </xf>
    <xf numFmtId="0" fontId="1" fillId="0" borderId="0" xfId="0" applyFont="1" applyAlignment="1">
      <alignment horizontal="right" vertical="center" indent="2"/>
    </xf>
    <xf numFmtId="0" fontId="1" fillId="0" borderId="13" xfId="0" applyFont="1" applyBorder="1" applyAlignment="1">
      <alignment horizontal="right" vertical="center" indent="2"/>
    </xf>
    <xf numFmtId="164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right" vertical="center" indent="2"/>
    </xf>
    <xf numFmtId="164" fontId="1" fillId="0" borderId="16" xfId="0" applyNumberFormat="1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164" fontId="1" fillId="0" borderId="18" xfId="0" applyNumberFormat="1" applyFont="1" applyBorder="1" applyAlignment="1">
      <alignment vertical="center" textRotation="90"/>
    </xf>
    <xf numFmtId="164" fontId="1" fillId="0" borderId="0" xfId="0" applyNumberFormat="1" applyFont="1" applyAlignment="1">
      <alignment vertical="center" textRotation="90"/>
    </xf>
    <xf numFmtId="0" fontId="1" fillId="5" borderId="16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textRotation="90"/>
    </xf>
    <xf numFmtId="164" fontId="1" fillId="3" borderId="0" xfId="0" applyNumberFormat="1" applyFont="1" applyFill="1" applyAlignment="1">
      <alignment horizontal="center" vertical="center" textRotation="90"/>
    </xf>
    <xf numFmtId="0" fontId="1" fillId="0" borderId="15" xfId="0" applyFont="1" applyBorder="1" applyAlignment="1">
      <alignment horizontal="right" vertical="center" indent="3"/>
    </xf>
    <xf numFmtId="164" fontId="1" fillId="0" borderId="16" xfId="0" applyNumberFormat="1" applyFont="1" applyBorder="1" applyAlignment="1">
      <alignment vertical="center"/>
    </xf>
    <xf numFmtId="0" fontId="1" fillId="0" borderId="15" xfId="0" applyFont="1" applyBorder="1" applyAlignment="1">
      <alignment horizontal="right" vertical="center" indent="5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008080"/>
      <color rgb="FF5F5F5F"/>
      <color rgb="FF66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FBD5-B2E0-4C11-8B5F-CCBCA75C68B0}">
  <dimension ref="A4:BR61"/>
  <sheetViews>
    <sheetView showGridLines="0" tabSelected="1" zoomScale="61" zoomScaleNormal="81" zoomScaleSheetLayoutView="25" workbookViewId="0">
      <selection activeCell="K31" sqref="K31"/>
    </sheetView>
  </sheetViews>
  <sheetFormatPr defaultRowHeight="19.95" customHeight="1" x14ac:dyDescent="0.3"/>
  <cols>
    <col min="1" max="1" width="8.88671875" style="3"/>
    <col min="2" max="2" width="6.21875" style="3" customWidth="1"/>
    <col min="3" max="3" width="19.5546875" style="3" customWidth="1"/>
    <col min="4" max="4" width="26.6640625" style="3" customWidth="1"/>
    <col min="5" max="5" width="13.6640625" style="3" customWidth="1"/>
    <col min="6" max="6" width="14.33203125" style="3" customWidth="1"/>
    <col min="7" max="7" width="15.6640625" style="3" customWidth="1"/>
    <col min="8" max="70" width="5.77734375" style="3" customWidth="1"/>
    <col min="71" max="16384" width="8.88671875" style="3"/>
  </cols>
  <sheetData>
    <row r="4" spans="1:70" ht="19.8" customHeight="1" x14ac:dyDescent="0.3">
      <c r="C4" s="1" t="s">
        <v>0</v>
      </c>
      <c r="D4" s="2">
        <v>45992</v>
      </c>
      <c r="H4" s="70" t="s">
        <v>14</v>
      </c>
      <c r="I4" s="71"/>
      <c r="J4" s="71"/>
      <c r="K4" s="71"/>
      <c r="L4" s="71"/>
      <c r="M4" s="71"/>
      <c r="N4" s="72"/>
      <c r="O4" s="49" t="s">
        <v>6</v>
      </c>
      <c r="P4" s="49"/>
      <c r="Q4" s="49"/>
      <c r="R4" s="49"/>
      <c r="S4" s="49"/>
      <c r="T4" s="49"/>
      <c r="U4" s="50"/>
      <c r="V4" s="49" t="s">
        <v>7</v>
      </c>
      <c r="W4" s="49"/>
      <c r="X4" s="49"/>
      <c r="Y4" s="49"/>
      <c r="Z4" s="49"/>
      <c r="AA4" s="49"/>
      <c r="AB4" s="50"/>
      <c r="AC4" s="49" t="s">
        <v>8</v>
      </c>
      <c r="AD4" s="49"/>
      <c r="AE4" s="49"/>
      <c r="AF4" s="49"/>
      <c r="AG4" s="49"/>
      <c r="AH4" s="49"/>
      <c r="AI4" s="50"/>
      <c r="AJ4" s="49" t="s">
        <v>9</v>
      </c>
      <c r="AK4" s="49"/>
      <c r="AL4" s="49"/>
      <c r="AM4" s="49"/>
      <c r="AN4" s="49"/>
      <c r="AO4" s="49"/>
      <c r="AP4" s="50"/>
      <c r="AQ4" s="49" t="s">
        <v>10</v>
      </c>
      <c r="AR4" s="49"/>
      <c r="AS4" s="49"/>
      <c r="AT4" s="49"/>
      <c r="AU4" s="49"/>
      <c r="AV4" s="49"/>
      <c r="AW4" s="50"/>
      <c r="AX4" s="49" t="s">
        <v>11</v>
      </c>
      <c r="AY4" s="49"/>
      <c r="AZ4" s="49"/>
      <c r="BA4" s="49"/>
      <c r="BB4" s="49"/>
      <c r="BC4" s="49"/>
      <c r="BD4" s="50"/>
      <c r="BE4" s="49" t="s">
        <v>12</v>
      </c>
      <c r="BF4" s="49"/>
      <c r="BG4" s="49"/>
      <c r="BH4" s="49"/>
      <c r="BI4" s="49"/>
      <c r="BJ4" s="49"/>
      <c r="BK4" s="49"/>
      <c r="BL4" s="63"/>
      <c r="BM4" s="63"/>
      <c r="BN4" s="63"/>
      <c r="BO4" s="63"/>
      <c r="BP4" s="63"/>
      <c r="BQ4" s="63"/>
      <c r="BR4" s="63"/>
    </row>
    <row r="5" spans="1:70" ht="76.2" customHeight="1" x14ac:dyDescent="0.3">
      <c r="C5" s="1" t="s">
        <v>1</v>
      </c>
      <c r="D5" s="68" t="s">
        <v>31</v>
      </c>
      <c r="E5" s="69"/>
      <c r="F5" s="69"/>
      <c r="G5" s="4" t="s">
        <v>13</v>
      </c>
      <c r="H5" s="35">
        <v>45978</v>
      </c>
      <c r="I5" s="34">
        <f>H5+2</f>
        <v>45980</v>
      </c>
      <c r="J5" s="35">
        <f t="shared" ref="J5:N5" si="0">I5+2</f>
        <v>45982</v>
      </c>
      <c r="K5" s="34">
        <f t="shared" si="0"/>
        <v>45984</v>
      </c>
      <c r="L5" s="35">
        <f t="shared" si="0"/>
        <v>45986</v>
      </c>
      <c r="M5" s="34">
        <f t="shared" si="0"/>
        <v>45988</v>
      </c>
      <c r="N5" s="35">
        <f t="shared" si="0"/>
        <v>45990</v>
      </c>
      <c r="O5" s="5">
        <f>D4</f>
        <v>45992</v>
      </c>
      <c r="P5" s="6">
        <f>O5+2</f>
        <v>45994</v>
      </c>
      <c r="Q5" s="7">
        <f t="shared" ref="Q5:BK5" si="1">P5+2</f>
        <v>45996</v>
      </c>
      <c r="R5" s="6">
        <f t="shared" si="1"/>
        <v>45998</v>
      </c>
      <c r="S5" s="7">
        <f t="shared" si="1"/>
        <v>46000</v>
      </c>
      <c r="T5" s="6">
        <f t="shared" si="1"/>
        <v>46002</v>
      </c>
      <c r="U5" s="7">
        <f t="shared" si="1"/>
        <v>46004</v>
      </c>
      <c r="V5" s="6">
        <f t="shared" si="1"/>
        <v>46006</v>
      </c>
      <c r="W5" s="7">
        <f t="shared" si="1"/>
        <v>46008</v>
      </c>
      <c r="X5" s="6">
        <f t="shared" si="1"/>
        <v>46010</v>
      </c>
      <c r="Y5" s="7">
        <f t="shared" si="1"/>
        <v>46012</v>
      </c>
      <c r="Z5" s="6">
        <f t="shared" si="1"/>
        <v>46014</v>
      </c>
      <c r="AA5" s="7">
        <f t="shared" si="1"/>
        <v>46016</v>
      </c>
      <c r="AB5" s="6">
        <f t="shared" si="1"/>
        <v>46018</v>
      </c>
      <c r="AC5" s="7">
        <f t="shared" si="1"/>
        <v>46020</v>
      </c>
      <c r="AD5" s="6">
        <f t="shared" si="1"/>
        <v>46022</v>
      </c>
      <c r="AE5" s="7">
        <f t="shared" si="1"/>
        <v>46024</v>
      </c>
      <c r="AF5" s="6">
        <f t="shared" si="1"/>
        <v>46026</v>
      </c>
      <c r="AG5" s="7">
        <f t="shared" si="1"/>
        <v>46028</v>
      </c>
      <c r="AH5" s="6">
        <f t="shared" si="1"/>
        <v>46030</v>
      </c>
      <c r="AI5" s="7">
        <f t="shared" si="1"/>
        <v>46032</v>
      </c>
      <c r="AJ5" s="6">
        <f t="shared" si="1"/>
        <v>46034</v>
      </c>
      <c r="AK5" s="7">
        <f t="shared" si="1"/>
        <v>46036</v>
      </c>
      <c r="AL5" s="6">
        <f t="shared" si="1"/>
        <v>46038</v>
      </c>
      <c r="AM5" s="7">
        <f t="shared" si="1"/>
        <v>46040</v>
      </c>
      <c r="AN5" s="6">
        <f t="shared" si="1"/>
        <v>46042</v>
      </c>
      <c r="AO5" s="7">
        <f t="shared" si="1"/>
        <v>46044</v>
      </c>
      <c r="AP5" s="6">
        <f t="shared" si="1"/>
        <v>46046</v>
      </c>
      <c r="AQ5" s="7">
        <f t="shared" si="1"/>
        <v>46048</v>
      </c>
      <c r="AR5" s="6">
        <f t="shared" si="1"/>
        <v>46050</v>
      </c>
      <c r="AS5" s="7">
        <f t="shared" si="1"/>
        <v>46052</v>
      </c>
      <c r="AT5" s="6">
        <f t="shared" si="1"/>
        <v>46054</v>
      </c>
      <c r="AU5" s="7">
        <f t="shared" si="1"/>
        <v>46056</v>
      </c>
      <c r="AV5" s="6">
        <f t="shared" si="1"/>
        <v>46058</v>
      </c>
      <c r="AW5" s="7">
        <f t="shared" si="1"/>
        <v>46060</v>
      </c>
      <c r="AX5" s="6">
        <f t="shared" si="1"/>
        <v>46062</v>
      </c>
      <c r="AY5" s="7">
        <f t="shared" si="1"/>
        <v>46064</v>
      </c>
      <c r="AZ5" s="6">
        <f t="shared" si="1"/>
        <v>46066</v>
      </c>
      <c r="BA5" s="7">
        <f t="shared" si="1"/>
        <v>46068</v>
      </c>
      <c r="BB5" s="6">
        <f t="shared" si="1"/>
        <v>46070</v>
      </c>
      <c r="BC5" s="7">
        <f t="shared" si="1"/>
        <v>46072</v>
      </c>
      <c r="BD5" s="6">
        <f t="shared" si="1"/>
        <v>46074</v>
      </c>
      <c r="BE5" s="7">
        <f t="shared" si="1"/>
        <v>46076</v>
      </c>
      <c r="BF5" s="6">
        <f t="shared" si="1"/>
        <v>46078</v>
      </c>
      <c r="BG5" s="7">
        <f t="shared" si="1"/>
        <v>46080</v>
      </c>
      <c r="BH5" s="6">
        <f t="shared" si="1"/>
        <v>46082</v>
      </c>
      <c r="BI5" s="7">
        <f t="shared" si="1"/>
        <v>46084</v>
      </c>
      <c r="BJ5" s="6">
        <f t="shared" si="1"/>
        <v>46086</v>
      </c>
      <c r="BK5" s="16">
        <f t="shared" si="1"/>
        <v>46088</v>
      </c>
      <c r="BL5" s="17"/>
      <c r="BM5" s="17"/>
      <c r="BN5" s="17"/>
      <c r="BO5" s="17"/>
      <c r="BP5" s="17"/>
      <c r="BQ5" s="17"/>
      <c r="BR5" s="17"/>
    </row>
    <row r="6" spans="1:70" ht="19.95" customHeight="1" x14ac:dyDescent="0.3">
      <c r="A6" s="4"/>
      <c r="B6" s="4"/>
      <c r="C6" s="13" t="s">
        <v>2</v>
      </c>
      <c r="D6" s="13" t="s">
        <v>14</v>
      </c>
      <c r="E6" s="13" t="s">
        <v>3</v>
      </c>
      <c r="F6" s="13" t="s">
        <v>4</v>
      </c>
      <c r="G6" s="13" t="s">
        <v>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</row>
    <row r="7" spans="1:70" ht="19.95" customHeight="1" x14ac:dyDescent="0.3">
      <c r="A7" s="4"/>
      <c r="B7" s="4"/>
      <c r="C7" s="33"/>
      <c r="D7" s="36" t="s">
        <v>24</v>
      </c>
      <c r="E7" s="12">
        <v>45978</v>
      </c>
      <c r="F7" s="12">
        <f>E7+4</f>
        <v>45982</v>
      </c>
      <c r="G7" s="19">
        <f>IF(DATEDIF(E7,F7,"d")=0,1,DATEDIF(E7,F7,"d"))</f>
        <v>4</v>
      </c>
      <c r="H7" s="73"/>
      <c r="I7" s="74"/>
      <c r="J7" s="75"/>
      <c r="K7" s="4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2"/>
    </row>
    <row r="8" spans="1:70" ht="19.95" customHeight="1" x14ac:dyDescent="0.3">
      <c r="A8" s="4"/>
      <c r="B8" s="4"/>
      <c r="C8" s="33"/>
      <c r="D8" s="36" t="s">
        <v>15</v>
      </c>
      <c r="E8" s="12">
        <f>E7</f>
        <v>45978</v>
      </c>
      <c r="F8" s="12">
        <f>E8+2</f>
        <v>45980</v>
      </c>
      <c r="G8" s="19">
        <f t="shared" ref="G8:G12" si="2">IF(DATEDIF(E8,F8,"d")=0,1,DATEDIF(E8,F8,"d"))</f>
        <v>2</v>
      </c>
      <c r="H8" s="54"/>
      <c r="I8" s="65"/>
      <c r="J8" s="41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6"/>
    </row>
    <row r="9" spans="1:70" ht="19.95" customHeight="1" x14ac:dyDescent="0.3">
      <c r="A9" s="4"/>
      <c r="B9" s="4"/>
      <c r="C9" s="33"/>
      <c r="D9" s="36" t="s">
        <v>25</v>
      </c>
      <c r="E9" s="37">
        <f>F8</f>
        <v>45980</v>
      </c>
      <c r="F9" s="12">
        <f>E9+2</f>
        <v>45982</v>
      </c>
      <c r="G9" s="19">
        <f t="shared" si="2"/>
        <v>2</v>
      </c>
      <c r="H9" s="42"/>
      <c r="I9" s="61"/>
      <c r="J9" s="62"/>
      <c r="K9" s="39"/>
      <c r="L9" s="31"/>
      <c r="M9" s="31"/>
      <c r="N9" s="31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6"/>
    </row>
    <row r="10" spans="1:70" ht="19.95" customHeight="1" x14ac:dyDescent="0.3">
      <c r="A10" s="4"/>
      <c r="B10" s="4"/>
      <c r="C10" s="33"/>
      <c r="D10" s="36" t="s">
        <v>26</v>
      </c>
      <c r="E10" s="12">
        <f>F7+2</f>
        <v>45984</v>
      </c>
      <c r="F10" s="12">
        <f>E10+6</f>
        <v>45990</v>
      </c>
      <c r="G10" s="19">
        <f t="shared" si="2"/>
        <v>6</v>
      </c>
      <c r="H10" s="30"/>
      <c r="I10" s="20"/>
      <c r="J10" s="43"/>
      <c r="K10" s="54"/>
      <c r="L10" s="55"/>
      <c r="M10" s="55"/>
      <c r="N10" s="56"/>
      <c r="O10" s="30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6"/>
    </row>
    <row r="11" spans="1:70" ht="19.95" customHeight="1" x14ac:dyDescent="0.3">
      <c r="A11" s="4"/>
      <c r="B11" s="4"/>
      <c r="C11" s="33"/>
      <c r="D11" s="36" t="s">
        <v>27</v>
      </c>
      <c r="E11" s="12">
        <f>E10</f>
        <v>45984</v>
      </c>
      <c r="F11" s="12">
        <f>E11+5</f>
        <v>45989</v>
      </c>
      <c r="G11" s="19">
        <f t="shared" si="2"/>
        <v>5</v>
      </c>
      <c r="H11" s="30"/>
      <c r="I11" s="24"/>
      <c r="J11" s="29"/>
      <c r="K11" s="54"/>
      <c r="L11" s="55"/>
      <c r="M11" s="56"/>
      <c r="N11" s="40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6"/>
    </row>
    <row r="12" spans="1:70" ht="19.95" customHeight="1" x14ac:dyDescent="0.3">
      <c r="A12" s="4"/>
      <c r="B12" s="4"/>
      <c r="C12" s="33"/>
      <c r="D12" s="38" t="s">
        <v>28</v>
      </c>
      <c r="E12" s="12">
        <f>F10</f>
        <v>45990</v>
      </c>
      <c r="F12" s="12">
        <f>E12</f>
        <v>45990</v>
      </c>
      <c r="G12" s="19">
        <f t="shared" si="2"/>
        <v>1</v>
      </c>
      <c r="H12" s="30"/>
      <c r="I12" s="24"/>
      <c r="J12" s="24"/>
      <c r="K12" s="20"/>
      <c r="L12" s="20"/>
      <c r="M12" s="20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6"/>
    </row>
    <row r="13" spans="1:70" ht="19.95" customHeight="1" x14ac:dyDescent="0.3">
      <c r="A13" s="4"/>
      <c r="B13" s="4"/>
      <c r="C13" s="51" t="s">
        <v>34</v>
      </c>
      <c r="E13" s="4"/>
      <c r="F13" s="4"/>
      <c r="G13" s="18" t="s">
        <v>19</v>
      </c>
      <c r="H13" s="30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6"/>
    </row>
    <row r="14" spans="1:70" ht="19.8" customHeight="1" x14ac:dyDescent="0.3">
      <c r="A14" s="4"/>
      <c r="B14" s="4"/>
      <c r="C14" s="52"/>
      <c r="D14" s="9" t="s">
        <v>29</v>
      </c>
      <c r="E14" s="10">
        <f>D4</f>
        <v>45992</v>
      </c>
      <c r="F14" s="10">
        <f>D4</f>
        <v>45992</v>
      </c>
      <c r="G14" s="19">
        <f>IF(DATEDIF(E14,F14,"d")=0,1,DATEDIF(E14,F14,"d"))</f>
        <v>1</v>
      </c>
      <c r="H14" s="30"/>
      <c r="I14" s="24"/>
      <c r="J14" s="24"/>
      <c r="K14" s="24"/>
      <c r="L14" s="24"/>
      <c r="M14" s="24"/>
      <c r="N14" s="24"/>
      <c r="O14" s="2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6"/>
    </row>
    <row r="15" spans="1:70" ht="19.95" customHeight="1" x14ac:dyDescent="0.3">
      <c r="A15" s="4"/>
      <c r="B15" s="4"/>
      <c r="C15" s="52"/>
      <c r="D15" s="11" t="s">
        <v>35</v>
      </c>
      <c r="E15" s="12">
        <f>D4</f>
        <v>45992</v>
      </c>
      <c r="F15" s="12">
        <f>D4+1</f>
        <v>45993</v>
      </c>
      <c r="G15" s="18">
        <f t="shared" ref="G15:G19" si="3">IF(DATEDIF(E15,F15,"d")=0,1,DATEDIF(E15,F15,"d"))</f>
        <v>1</v>
      </c>
      <c r="H15" s="30"/>
      <c r="I15" s="24"/>
      <c r="J15" s="24"/>
      <c r="K15" s="24"/>
      <c r="L15" s="24"/>
      <c r="M15" s="24"/>
      <c r="N15" s="24"/>
      <c r="O15" s="24"/>
      <c r="P15" s="31"/>
      <c r="Q15" s="31"/>
      <c r="R15" s="31"/>
      <c r="S15" s="31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6"/>
    </row>
    <row r="16" spans="1:70" ht="19.95" customHeight="1" x14ac:dyDescent="0.3">
      <c r="A16" s="4"/>
      <c r="B16" s="4"/>
      <c r="C16" s="52"/>
      <c r="D16" s="11" t="s">
        <v>16</v>
      </c>
      <c r="E16" s="12">
        <f>F15</f>
        <v>45993</v>
      </c>
      <c r="F16" s="12">
        <f>E16+7</f>
        <v>46000</v>
      </c>
      <c r="G16" s="18">
        <f t="shared" si="3"/>
        <v>7</v>
      </c>
      <c r="H16" s="30"/>
      <c r="I16" s="24"/>
      <c r="J16" s="24"/>
      <c r="K16" s="24"/>
      <c r="L16" s="24"/>
      <c r="M16" s="24"/>
      <c r="N16" s="24"/>
      <c r="O16" s="29"/>
      <c r="P16" s="54"/>
      <c r="Q16" s="64"/>
      <c r="R16" s="64"/>
      <c r="S16" s="65"/>
      <c r="T16" s="39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6"/>
    </row>
    <row r="17" spans="1:63" ht="19.95" customHeight="1" x14ac:dyDescent="0.3">
      <c r="A17" s="4"/>
      <c r="B17" s="4"/>
      <c r="C17" s="52"/>
      <c r="D17" s="11" t="s">
        <v>36</v>
      </c>
      <c r="E17" s="12">
        <f>E16+3</f>
        <v>45996</v>
      </c>
      <c r="F17" s="12">
        <f>F16+2</f>
        <v>46002</v>
      </c>
      <c r="G17" s="18">
        <f t="shared" si="3"/>
        <v>6</v>
      </c>
      <c r="H17" s="30"/>
      <c r="I17" s="24"/>
      <c r="J17" s="24"/>
      <c r="K17" s="24"/>
      <c r="L17" s="24"/>
      <c r="M17" s="24"/>
      <c r="N17" s="24"/>
      <c r="O17" s="24"/>
      <c r="P17" s="43"/>
      <c r="Q17" s="57"/>
      <c r="R17" s="47"/>
      <c r="S17" s="47"/>
      <c r="T17" s="48"/>
      <c r="U17" s="30"/>
      <c r="V17" s="24"/>
      <c r="W17" s="24"/>
      <c r="X17" s="24"/>
      <c r="Y17" s="24"/>
      <c r="Z17" s="24"/>
      <c r="AA17" s="24"/>
      <c r="AB17" s="24"/>
      <c r="AC17" s="24"/>
      <c r="AD17" s="24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6"/>
    </row>
    <row r="18" spans="1:63" ht="19.95" customHeight="1" x14ac:dyDescent="0.3">
      <c r="A18" s="4"/>
      <c r="B18" s="4"/>
      <c r="C18" s="52"/>
      <c r="D18" s="11" t="s">
        <v>18</v>
      </c>
      <c r="E18" s="12">
        <f>F17+1</f>
        <v>46003</v>
      </c>
      <c r="F18" s="12">
        <f>E18+1</f>
        <v>46004</v>
      </c>
      <c r="G18" s="18">
        <f t="shared" si="3"/>
        <v>1</v>
      </c>
      <c r="H18" s="30"/>
      <c r="I18" s="24"/>
      <c r="J18" s="24"/>
      <c r="K18" s="24"/>
      <c r="L18" s="24"/>
      <c r="M18" s="24"/>
      <c r="N18" s="24"/>
      <c r="O18" s="24"/>
      <c r="P18" s="24"/>
      <c r="Q18" s="20"/>
      <c r="R18" s="20"/>
      <c r="S18" s="20"/>
      <c r="T18" s="20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6"/>
    </row>
    <row r="19" spans="1:63" ht="19.95" customHeight="1" x14ac:dyDescent="0.3">
      <c r="A19" s="4"/>
      <c r="B19" s="4"/>
      <c r="C19" s="53"/>
      <c r="D19" s="11" t="s">
        <v>37</v>
      </c>
      <c r="E19" s="12">
        <f>F18</f>
        <v>46004</v>
      </c>
      <c r="F19" s="12">
        <f>E19+1</f>
        <v>46005</v>
      </c>
      <c r="G19" s="18">
        <f t="shared" si="3"/>
        <v>1</v>
      </c>
      <c r="H19" s="30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6"/>
    </row>
    <row r="20" spans="1:63" ht="19.95" customHeight="1" x14ac:dyDescent="0.3">
      <c r="A20" s="4"/>
      <c r="B20" s="4"/>
      <c r="C20" s="51" t="s">
        <v>32</v>
      </c>
      <c r="D20" s="8"/>
      <c r="E20" s="4"/>
      <c r="F20" s="4"/>
      <c r="G20" s="18" t="s">
        <v>19</v>
      </c>
      <c r="H20" s="30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5"/>
      <c r="AF20" s="25"/>
      <c r="AG20" s="25"/>
      <c r="AH20" s="25"/>
      <c r="AI20" s="25"/>
      <c r="AJ20" s="27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6"/>
    </row>
    <row r="21" spans="1:63" ht="19.95" customHeight="1" x14ac:dyDescent="0.3">
      <c r="A21" s="4"/>
      <c r="B21" s="4"/>
      <c r="C21" s="52"/>
      <c r="D21" s="9" t="s">
        <v>29</v>
      </c>
      <c r="E21" s="10">
        <f>F19+1</f>
        <v>46006</v>
      </c>
      <c r="F21" s="10">
        <f>E21</f>
        <v>46006</v>
      </c>
      <c r="G21" s="19">
        <f>IF(DATEDIF(E21,F21,"d")=0,1,DATEDIF(E21,F21,"d"))</f>
        <v>1</v>
      </c>
      <c r="H21" s="3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5"/>
      <c r="AF21" s="25"/>
      <c r="AG21" s="25"/>
      <c r="AH21" s="25"/>
      <c r="AI21" s="26"/>
      <c r="AK21" s="32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6"/>
    </row>
    <row r="22" spans="1:63" ht="19.95" customHeight="1" x14ac:dyDescent="0.3">
      <c r="A22" s="4"/>
      <c r="B22" s="4"/>
      <c r="C22" s="52"/>
      <c r="D22" s="11" t="s">
        <v>38</v>
      </c>
      <c r="E22" s="12">
        <f>F21</f>
        <v>46006</v>
      </c>
      <c r="F22" s="12">
        <f>E22+1</f>
        <v>46007</v>
      </c>
      <c r="G22" s="18">
        <f t="shared" ref="G22:G26" si="4">IF(DATEDIF(E22,F22,"d")=0,1,DATEDIF(E22,F22,"d"))</f>
        <v>1</v>
      </c>
      <c r="H22" s="30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1"/>
      <c r="X22" s="31"/>
      <c r="Y22" s="31"/>
      <c r="Z22" s="31"/>
      <c r="AA22" s="24"/>
      <c r="AB22" s="24"/>
      <c r="AC22" s="24"/>
      <c r="AD22" s="24"/>
      <c r="AE22" s="25"/>
      <c r="AF22" s="25"/>
      <c r="AG22" s="25"/>
      <c r="AH22" s="25"/>
      <c r="AI22" s="25"/>
      <c r="AJ22" s="21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6"/>
    </row>
    <row r="23" spans="1:63" ht="19.95" customHeight="1" x14ac:dyDescent="0.3">
      <c r="A23" s="4"/>
      <c r="B23" s="4"/>
      <c r="C23" s="52"/>
      <c r="D23" s="11" t="s">
        <v>16</v>
      </c>
      <c r="E23" s="12">
        <f>F22</f>
        <v>46007</v>
      </c>
      <c r="F23" s="12">
        <f>E23+7</f>
        <v>46014</v>
      </c>
      <c r="G23" s="18">
        <f t="shared" si="4"/>
        <v>7</v>
      </c>
      <c r="H23" s="30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9"/>
      <c r="W23" s="54"/>
      <c r="X23" s="64"/>
      <c r="Y23" s="64"/>
      <c r="Z23" s="65"/>
      <c r="AA23" s="39"/>
      <c r="AB23" s="24"/>
      <c r="AC23" s="24"/>
      <c r="AD23" s="24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6"/>
    </row>
    <row r="24" spans="1:63" ht="19.95" customHeight="1" x14ac:dyDescent="0.3">
      <c r="A24" s="4"/>
      <c r="B24" s="4"/>
      <c r="C24" s="52"/>
      <c r="D24" s="11" t="s">
        <v>17</v>
      </c>
      <c r="E24" s="12">
        <f>E23+3</f>
        <v>46010</v>
      </c>
      <c r="F24" s="12">
        <f>F23+2</f>
        <v>46016</v>
      </c>
      <c r="G24" s="18">
        <f t="shared" si="4"/>
        <v>6</v>
      </c>
      <c r="H24" s="3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43"/>
      <c r="X24" s="57"/>
      <c r="Y24" s="47"/>
      <c r="Z24" s="47"/>
      <c r="AA24" s="48"/>
      <c r="AB24" s="30"/>
      <c r="AC24" s="24"/>
      <c r="AD24" s="24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6"/>
    </row>
    <row r="25" spans="1:63" ht="19.95" customHeight="1" x14ac:dyDescent="0.3">
      <c r="A25" s="4"/>
      <c r="B25" s="4"/>
      <c r="C25" s="52"/>
      <c r="D25" s="11" t="s">
        <v>30</v>
      </c>
      <c r="E25" s="12">
        <f>F24+1</f>
        <v>46017</v>
      </c>
      <c r="F25" s="12">
        <f>E25+1</f>
        <v>46018</v>
      </c>
      <c r="G25" s="18">
        <f t="shared" si="4"/>
        <v>1</v>
      </c>
      <c r="H25" s="3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0"/>
      <c r="Y25" s="20"/>
      <c r="Z25" s="20"/>
      <c r="AA25" s="20"/>
      <c r="AB25" s="24"/>
      <c r="AC25" s="24"/>
      <c r="AD25" s="24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6"/>
    </row>
    <row r="26" spans="1:63" ht="19.95" customHeight="1" x14ac:dyDescent="0.3">
      <c r="A26" s="4"/>
      <c r="B26" s="4"/>
      <c r="C26" s="53"/>
      <c r="D26" s="11" t="s">
        <v>18</v>
      </c>
      <c r="E26" s="12">
        <f>F25</f>
        <v>46018</v>
      </c>
      <c r="F26" s="12">
        <f>E26+1</f>
        <v>46019</v>
      </c>
      <c r="G26" s="18">
        <f t="shared" si="4"/>
        <v>1</v>
      </c>
      <c r="H26" s="30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6"/>
    </row>
    <row r="27" spans="1:63" ht="19.95" customHeight="1" x14ac:dyDescent="0.3">
      <c r="A27" s="4"/>
      <c r="B27" s="4"/>
      <c r="C27" s="51" t="s">
        <v>33</v>
      </c>
      <c r="D27" s="8"/>
      <c r="G27" s="18" t="s">
        <v>19</v>
      </c>
      <c r="H27" s="30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6"/>
    </row>
    <row r="28" spans="1:63" ht="19.95" customHeight="1" x14ac:dyDescent="0.3">
      <c r="A28" s="4"/>
      <c r="B28" s="4"/>
      <c r="C28" s="52"/>
      <c r="D28" s="9" t="s">
        <v>29</v>
      </c>
      <c r="E28" s="10">
        <f>F26+1</f>
        <v>46020</v>
      </c>
      <c r="F28" s="10">
        <f>E28</f>
        <v>46020</v>
      </c>
      <c r="G28" s="19">
        <f>IF(DATEDIF(E29,F29,"d")=0,1,DATEDIF(E29,F29,"d"))</f>
        <v>1</v>
      </c>
      <c r="H28" s="3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6"/>
    </row>
    <row r="29" spans="1:63" ht="19.95" customHeight="1" x14ac:dyDescent="0.3">
      <c r="A29" s="4"/>
      <c r="B29" s="4"/>
      <c r="C29" s="52"/>
      <c r="D29" s="11" t="s">
        <v>38</v>
      </c>
      <c r="E29" s="12">
        <f>F28</f>
        <v>46020</v>
      </c>
      <c r="F29" s="12">
        <f>E29+1</f>
        <v>46021</v>
      </c>
      <c r="G29" s="18">
        <f>IF(DATEDIF(E30,F30,"d")=0,1,DATEDIF(E30,F30,"d"))</f>
        <v>7</v>
      </c>
      <c r="H29" s="30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31"/>
      <c r="AE29" s="27"/>
      <c r="AF29" s="27"/>
      <c r="AG29" s="27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6"/>
    </row>
    <row r="30" spans="1:63" ht="19.95" customHeight="1" x14ac:dyDescent="0.3">
      <c r="A30" s="4"/>
      <c r="B30" s="4"/>
      <c r="C30" s="52"/>
      <c r="D30" s="11" t="s">
        <v>16</v>
      </c>
      <c r="E30" s="12">
        <f>F29</f>
        <v>46021</v>
      </c>
      <c r="F30" s="12">
        <f>E30+7</f>
        <v>46028</v>
      </c>
      <c r="G30" s="18">
        <f>IF(DATEDIF(E31,F31,"d")=0,1,DATEDIF(E31,F31,"d"))</f>
        <v>6</v>
      </c>
      <c r="H30" s="30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9"/>
      <c r="AD30" s="57"/>
      <c r="AE30" s="66"/>
      <c r="AF30" s="66"/>
      <c r="AG30" s="67"/>
      <c r="AH30" s="44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6"/>
    </row>
    <row r="31" spans="1:63" ht="19.95" customHeight="1" x14ac:dyDescent="0.3">
      <c r="A31" s="4"/>
      <c r="B31" s="4"/>
      <c r="C31" s="52"/>
      <c r="D31" s="11" t="s">
        <v>17</v>
      </c>
      <c r="E31" s="12">
        <f>E30+3</f>
        <v>46024</v>
      </c>
      <c r="F31" s="12">
        <f>F30+2</f>
        <v>46030</v>
      </c>
      <c r="G31" s="18">
        <f>IF(DATEDIF(E32,F32,"d")=0,1,DATEDIF(E32,F32,"d"))</f>
        <v>1</v>
      </c>
      <c r="H31" s="30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43"/>
      <c r="AE31" s="57"/>
      <c r="AF31" s="47"/>
      <c r="AG31" s="47"/>
      <c r="AH31" s="48"/>
      <c r="AI31" s="32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6"/>
    </row>
    <row r="32" spans="1:63" ht="19.95" customHeight="1" x14ac:dyDescent="0.3">
      <c r="A32" s="4"/>
      <c r="B32" s="4"/>
      <c r="C32" s="52"/>
      <c r="D32" s="11" t="s">
        <v>30</v>
      </c>
      <c r="E32" s="12">
        <f>F31+1</f>
        <v>46031</v>
      </c>
      <c r="F32" s="12">
        <f>E32+1</f>
        <v>46032</v>
      </c>
      <c r="G32" s="18">
        <f>IF(DATEDIF(E33,F33,"d")=0,1,DATEDIF(E33,F33,"d"))</f>
        <v>1</v>
      </c>
      <c r="H32" s="30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1"/>
      <c r="AF32" s="21"/>
      <c r="AG32" s="21"/>
      <c r="AH32" s="21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6"/>
    </row>
    <row r="33" spans="1:63" ht="19.95" customHeight="1" x14ac:dyDescent="0.3">
      <c r="A33" s="4"/>
      <c r="B33" s="4"/>
      <c r="C33" s="53"/>
      <c r="D33" s="11" t="s">
        <v>18</v>
      </c>
      <c r="E33" s="12">
        <f>F32</f>
        <v>46032</v>
      </c>
      <c r="F33" s="12">
        <f>E33+1</f>
        <v>46033</v>
      </c>
      <c r="G33" s="18">
        <f>IF(DATEDIF(E35,F35,"d")=0,1,DATEDIF(E35,F35,"d"))</f>
        <v>1</v>
      </c>
      <c r="H33" s="30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6"/>
    </row>
    <row r="34" spans="1:63" ht="19.95" customHeight="1" x14ac:dyDescent="0.3">
      <c r="A34" s="4"/>
      <c r="B34" s="4"/>
      <c r="C34" s="51" t="s">
        <v>20</v>
      </c>
      <c r="D34" s="8"/>
      <c r="G34" s="18" t="s">
        <v>19</v>
      </c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6"/>
    </row>
    <row r="35" spans="1:63" ht="19.95" customHeight="1" x14ac:dyDescent="0.3">
      <c r="A35" s="4"/>
      <c r="B35" s="4"/>
      <c r="C35" s="52"/>
      <c r="D35" s="9" t="s">
        <v>29</v>
      </c>
      <c r="E35" s="10">
        <f>F33+1</f>
        <v>46034</v>
      </c>
      <c r="F35" s="10">
        <f>E35</f>
        <v>46034</v>
      </c>
      <c r="G35" s="19">
        <f>IF(DATEDIF(E36,F36,"d")=0,1,DATEDIF(E36,F36,"d"))</f>
        <v>1</v>
      </c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6"/>
    </row>
    <row r="36" spans="1:63" ht="19.95" customHeight="1" x14ac:dyDescent="0.3">
      <c r="A36" s="4"/>
      <c r="B36" s="4"/>
      <c r="C36" s="52"/>
      <c r="D36" s="11" t="s">
        <v>38</v>
      </c>
      <c r="E36" s="12">
        <f>F35</f>
        <v>46034</v>
      </c>
      <c r="F36" s="12">
        <f>E36+1</f>
        <v>46035</v>
      </c>
      <c r="G36" s="18">
        <f>IF(DATEDIF(E37,F37,"d")=0,1,DATEDIF(E37,F37,"d"))</f>
        <v>7</v>
      </c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5"/>
      <c r="AF36" s="25"/>
      <c r="AG36" s="25"/>
      <c r="AH36" s="25"/>
      <c r="AI36" s="25"/>
      <c r="AJ36" s="25"/>
      <c r="AK36" s="27"/>
      <c r="AL36" s="27"/>
      <c r="AM36" s="27"/>
      <c r="AN36" s="27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6"/>
    </row>
    <row r="37" spans="1:63" ht="19.95" customHeight="1" x14ac:dyDescent="0.3">
      <c r="A37" s="4"/>
      <c r="B37" s="4"/>
      <c r="C37" s="52"/>
      <c r="D37" s="11" t="s">
        <v>16</v>
      </c>
      <c r="E37" s="12">
        <f>F36</f>
        <v>46035</v>
      </c>
      <c r="F37" s="12">
        <f>E37+7</f>
        <v>46042</v>
      </c>
      <c r="G37" s="18">
        <f>IF(DATEDIF(E38,F38,"d")=0,1,DATEDIF(E38,F38,"d"))</f>
        <v>6</v>
      </c>
      <c r="H37" s="3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5"/>
      <c r="AF37" s="25"/>
      <c r="AG37" s="25"/>
      <c r="AH37" s="25"/>
      <c r="AI37" s="25"/>
      <c r="AJ37" s="26"/>
      <c r="AK37" s="54"/>
      <c r="AL37" s="64"/>
      <c r="AM37" s="64"/>
      <c r="AN37" s="65"/>
      <c r="AO37" s="44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6"/>
    </row>
    <row r="38" spans="1:63" ht="19.95" customHeight="1" x14ac:dyDescent="0.3">
      <c r="A38" s="4"/>
      <c r="B38" s="4"/>
      <c r="C38" s="52"/>
      <c r="D38" s="11" t="s">
        <v>17</v>
      </c>
      <c r="E38" s="12">
        <f>E37+3</f>
        <v>46038</v>
      </c>
      <c r="F38" s="12">
        <f>F37+2</f>
        <v>46044</v>
      </c>
      <c r="G38" s="18">
        <f>IF(DATEDIF(E39,F39,"d")=0,1,DATEDIF(E39,F39,"d"))</f>
        <v>1</v>
      </c>
      <c r="H38" s="3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5"/>
      <c r="AF38" s="25"/>
      <c r="AG38" s="25"/>
      <c r="AH38" s="25"/>
      <c r="AI38" s="25"/>
      <c r="AJ38" s="25"/>
      <c r="AK38" s="22"/>
      <c r="AL38" s="58"/>
      <c r="AM38" s="59"/>
      <c r="AN38" s="59"/>
      <c r="AO38" s="60"/>
      <c r="AP38" s="32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6"/>
    </row>
    <row r="39" spans="1:63" ht="19.95" customHeight="1" x14ac:dyDescent="0.3">
      <c r="A39" s="4"/>
      <c r="B39" s="4"/>
      <c r="C39" s="52"/>
      <c r="D39" s="11" t="s">
        <v>30</v>
      </c>
      <c r="E39" s="12">
        <f>F38+1</f>
        <v>46045</v>
      </c>
      <c r="F39" s="12">
        <f>E39+1</f>
        <v>46046</v>
      </c>
      <c r="G39" s="18">
        <f>IF(DATEDIF(E40,F40,"d")=0,1,DATEDIF(E40,F40,"d"))</f>
        <v>1</v>
      </c>
      <c r="H39" s="3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5"/>
      <c r="AF39" s="25"/>
      <c r="AG39" s="25"/>
      <c r="AH39" s="25"/>
      <c r="AI39" s="25"/>
      <c r="AJ39" s="25"/>
      <c r="AK39" s="25"/>
      <c r="AL39" s="21"/>
      <c r="AM39" s="21"/>
      <c r="AN39" s="21"/>
      <c r="AO39" s="21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6"/>
    </row>
    <row r="40" spans="1:63" ht="19.95" customHeight="1" x14ac:dyDescent="0.3">
      <c r="A40" s="4"/>
      <c r="B40" s="4"/>
      <c r="C40" s="53"/>
      <c r="D40" s="11" t="s">
        <v>18</v>
      </c>
      <c r="E40" s="12">
        <f>F39</f>
        <v>46046</v>
      </c>
      <c r="F40" s="12">
        <f>E40+1</f>
        <v>46047</v>
      </c>
      <c r="G40" s="18">
        <f>IF(DATEDIF(E42,F42,"d")=0,1,DATEDIF(E42,F42,"d"))</f>
        <v>1</v>
      </c>
      <c r="H40" s="30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6"/>
    </row>
    <row r="41" spans="1:63" ht="19.95" customHeight="1" x14ac:dyDescent="0.3">
      <c r="A41" s="4"/>
      <c r="B41" s="4"/>
      <c r="C41" s="51" t="s">
        <v>21</v>
      </c>
      <c r="D41" s="8"/>
      <c r="G41" s="18" t="s">
        <v>19</v>
      </c>
      <c r="H41" s="3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6"/>
    </row>
    <row r="42" spans="1:63" ht="19.95" customHeight="1" x14ac:dyDescent="0.3">
      <c r="A42" s="4"/>
      <c r="B42" s="4"/>
      <c r="C42" s="52"/>
      <c r="D42" s="9" t="s">
        <v>29</v>
      </c>
      <c r="E42" s="10">
        <f>F40+1</f>
        <v>46048</v>
      </c>
      <c r="F42" s="10">
        <f>E42</f>
        <v>46048</v>
      </c>
      <c r="G42" s="19">
        <f>IF(DATEDIF(E43,F43,"d")=0,1,DATEDIF(E43,F43,"d"))</f>
        <v>1</v>
      </c>
      <c r="H42" s="3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6"/>
    </row>
    <row r="43" spans="1:63" ht="19.95" customHeight="1" x14ac:dyDescent="0.3">
      <c r="A43" s="4"/>
      <c r="B43" s="4"/>
      <c r="C43" s="52"/>
      <c r="D43" s="11" t="s">
        <v>38</v>
      </c>
      <c r="E43" s="12">
        <f>F42</f>
        <v>46048</v>
      </c>
      <c r="F43" s="12">
        <f>E43+1</f>
        <v>46049</v>
      </c>
      <c r="G43" s="18">
        <f>IF(DATEDIF(E44,F44,"d")=0,1,DATEDIF(E44,F44,"d"))</f>
        <v>7</v>
      </c>
      <c r="H43" s="3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7"/>
      <c r="AS43" s="27"/>
      <c r="AT43" s="27"/>
      <c r="AU43" s="27"/>
      <c r="AV43" s="27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6"/>
    </row>
    <row r="44" spans="1:63" ht="19.95" customHeight="1" x14ac:dyDescent="0.3">
      <c r="A44" s="4"/>
      <c r="B44" s="4"/>
      <c r="C44" s="52"/>
      <c r="D44" s="11" t="s">
        <v>16</v>
      </c>
      <c r="E44" s="12">
        <f>F43</f>
        <v>46049</v>
      </c>
      <c r="F44" s="12">
        <f>E44+7</f>
        <v>46056</v>
      </c>
      <c r="G44" s="18">
        <f>IF(DATEDIF(E45,F45,"d")=0,1,DATEDIF(E45,F45,"d"))</f>
        <v>6</v>
      </c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6"/>
      <c r="AR44" s="57"/>
      <c r="AS44" s="47"/>
      <c r="AT44" s="47"/>
      <c r="AU44" s="47"/>
      <c r="AV44" s="48"/>
      <c r="AW44" s="32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6"/>
    </row>
    <row r="45" spans="1:63" ht="19.95" customHeight="1" x14ac:dyDescent="0.3">
      <c r="A45" s="4"/>
      <c r="B45" s="4"/>
      <c r="C45" s="52"/>
      <c r="D45" s="11" t="s">
        <v>17</v>
      </c>
      <c r="E45" s="12">
        <f>E44+3</f>
        <v>46052</v>
      </c>
      <c r="F45" s="12">
        <f>F44+2</f>
        <v>46058</v>
      </c>
      <c r="G45" s="18">
        <f>IF(DATEDIF(E46,F46,"d")=0,1,DATEDIF(E46,F46,"d"))</f>
        <v>1</v>
      </c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2"/>
      <c r="AS45" s="57"/>
      <c r="AT45" s="47"/>
      <c r="AU45" s="47"/>
      <c r="AV45" s="48"/>
      <c r="AW45" s="32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6"/>
    </row>
    <row r="46" spans="1:63" ht="19.95" customHeight="1" x14ac:dyDescent="0.3">
      <c r="A46" s="4"/>
      <c r="B46" s="4"/>
      <c r="C46" s="52"/>
      <c r="D46" s="11" t="s">
        <v>30</v>
      </c>
      <c r="E46" s="12">
        <f>F45+1</f>
        <v>46059</v>
      </c>
      <c r="F46" s="12">
        <f>E46+1</f>
        <v>46060</v>
      </c>
      <c r="G46" s="18">
        <f>IF(DATEDIF(E47,F47,"d")=0,1,DATEDIF(E47,F47,"d"))</f>
        <v>1</v>
      </c>
      <c r="H46" s="3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1"/>
      <c r="AT46" s="21"/>
      <c r="AU46" s="21"/>
      <c r="AV46" s="21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6"/>
    </row>
    <row r="47" spans="1:63" ht="19.95" customHeight="1" x14ac:dyDescent="0.3">
      <c r="A47" s="4"/>
      <c r="B47" s="4"/>
      <c r="C47" s="53"/>
      <c r="D47" s="11" t="s">
        <v>18</v>
      </c>
      <c r="E47" s="12">
        <f>F46</f>
        <v>46060</v>
      </c>
      <c r="F47" s="12">
        <f>E47+1</f>
        <v>46061</v>
      </c>
      <c r="G47" s="18">
        <f>IF(DATEDIF(E49,F49,"d")=0,1,DATEDIF(E49,F49,"d"))</f>
        <v>1</v>
      </c>
      <c r="H47" s="30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</row>
    <row r="48" spans="1:63" ht="19.95" customHeight="1" x14ac:dyDescent="0.3">
      <c r="A48" s="4"/>
      <c r="B48" s="4"/>
      <c r="C48" s="51" t="s">
        <v>22</v>
      </c>
      <c r="D48" s="8"/>
      <c r="G48" s="18" t="s">
        <v>19</v>
      </c>
      <c r="H48" s="30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6"/>
    </row>
    <row r="49" spans="1:63" ht="19.95" customHeight="1" x14ac:dyDescent="0.3">
      <c r="A49" s="4"/>
      <c r="B49" s="4"/>
      <c r="C49" s="52"/>
      <c r="D49" s="9" t="s">
        <v>29</v>
      </c>
      <c r="E49" s="10">
        <f>F47+1</f>
        <v>46062</v>
      </c>
      <c r="F49" s="10">
        <f>E49</f>
        <v>46062</v>
      </c>
      <c r="G49" s="19">
        <f>IF(DATEDIF(E50,F50,"d")=0,1,DATEDIF(E50,F50,"d"))</f>
        <v>1</v>
      </c>
      <c r="H49" s="30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7"/>
      <c r="AZ49" s="27"/>
      <c r="BA49" s="27"/>
      <c r="BB49" s="27"/>
      <c r="BC49" s="25"/>
      <c r="BD49" s="25"/>
      <c r="BE49" s="25"/>
      <c r="BF49" s="25"/>
      <c r="BG49" s="25"/>
      <c r="BH49" s="25"/>
      <c r="BI49" s="25"/>
      <c r="BJ49" s="25"/>
      <c r="BK49" s="26"/>
    </row>
    <row r="50" spans="1:63" ht="19.95" customHeight="1" x14ac:dyDescent="0.3">
      <c r="C50" s="52"/>
      <c r="D50" s="11" t="s">
        <v>38</v>
      </c>
      <c r="E50" s="12">
        <f>F49</f>
        <v>46062</v>
      </c>
      <c r="F50" s="12">
        <f>E50+1</f>
        <v>46063</v>
      </c>
      <c r="G50" s="18">
        <f>IF(DATEDIF(E51,F51,"d")=0,1,DATEDIF(E51,F51,"d"))</f>
        <v>7</v>
      </c>
      <c r="H50" s="30"/>
      <c r="I50" s="24"/>
      <c r="J50" s="24"/>
      <c r="K50" s="24"/>
      <c r="L50" s="24"/>
      <c r="M50" s="24"/>
      <c r="N50" s="24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6"/>
      <c r="AY50" s="46"/>
      <c r="AZ50" s="47"/>
      <c r="BA50" s="47"/>
      <c r="BB50" s="48"/>
      <c r="BC50" s="44"/>
      <c r="BD50" s="25"/>
      <c r="BE50" s="25"/>
      <c r="BF50" s="25"/>
      <c r="BG50" s="25"/>
      <c r="BH50" s="25"/>
      <c r="BI50" s="25"/>
      <c r="BJ50" s="25"/>
      <c r="BK50" s="26"/>
    </row>
    <row r="51" spans="1:63" ht="19.95" customHeight="1" x14ac:dyDescent="0.3">
      <c r="C51" s="52"/>
      <c r="D51" s="11" t="s">
        <v>16</v>
      </c>
      <c r="E51" s="12">
        <f>F50</f>
        <v>46063</v>
      </c>
      <c r="F51" s="12">
        <f>E51+7</f>
        <v>46070</v>
      </c>
      <c r="G51" s="18">
        <f>IF(DATEDIF(E52,F52,"d")=0,1,DATEDIF(E52,F52,"d"))</f>
        <v>6</v>
      </c>
      <c r="H51" s="30"/>
      <c r="I51" s="24"/>
      <c r="J51" s="24"/>
      <c r="K51" s="24"/>
      <c r="L51" s="24"/>
      <c r="M51" s="24"/>
      <c r="N51" s="24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6"/>
      <c r="AZ51" s="47"/>
      <c r="BA51" s="47"/>
      <c r="BB51" s="47"/>
      <c r="BC51" s="48"/>
      <c r="BD51" s="32"/>
      <c r="BE51" s="25"/>
      <c r="BF51" s="25"/>
      <c r="BG51" s="25"/>
      <c r="BH51" s="25"/>
      <c r="BI51" s="25"/>
      <c r="BJ51" s="25"/>
      <c r="BK51" s="26"/>
    </row>
    <row r="52" spans="1:63" ht="19.95" customHeight="1" x14ac:dyDescent="0.3">
      <c r="C52" s="52"/>
      <c r="D52" s="11" t="s">
        <v>17</v>
      </c>
      <c r="E52" s="12">
        <f>E51+3</f>
        <v>46066</v>
      </c>
      <c r="F52" s="12">
        <f>F51+2</f>
        <v>46072</v>
      </c>
      <c r="G52" s="18">
        <f>IF(DATEDIF(E53,F53,"d")=0,1,DATEDIF(E53,F53,"d"))</f>
        <v>1</v>
      </c>
      <c r="H52" s="30"/>
      <c r="I52" s="24"/>
      <c r="J52" s="24"/>
      <c r="K52" s="24"/>
      <c r="L52" s="24"/>
      <c r="M52" s="24"/>
      <c r="N52" s="24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1"/>
      <c r="AZ52" s="21"/>
      <c r="BA52" s="21"/>
      <c r="BB52" s="21"/>
      <c r="BC52" s="21"/>
      <c r="BD52" s="25"/>
      <c r="BE52" s="25"/>
      <c r="BF52" s="25"/>
      <c r="BG52" s="25"/>
      <c r="BH52" s="25"/>
      <c r="BI52" s="25"/>
      <c r="BJ52" s="25"/>
      <c r="BK52" s="26"/>
    </row>
    <row r="53" spans="1:63" ht="19.95" customHeight="1" x14ac:dyDescent="0.3">
      <c r="C53" s="52"/>
      <c r="D53" s="11" t="s">
        <v>30</v>
      </c>
      <c r="E53" s="12">
        <f>F52+1</f>
        <v>46073</v>
      </c>
      <c r="F53" s="12">
        <f>E53+1</f>
        <v>46074</v>
      </c>
      <c r="G53" s="18">
        <f>IF(DATEDIF(E54,F54,"d")=0,1,DATEDIF(E54,F54,"d"))</f>
        <v>1</v>
      </c>
      <c r="H53" s="30"/>
      <c r="I53" s="24"/>
      <c r="J53" s="24"/>
      <c r="K53" s="24"/>
      <c r="L53" s="24"/>
      <c r="M53" s="24"/>
      <c r="N53" s="24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6"/>
    </row>
    <row r="54" spans="1:63" ht="19.95" customHeight="1" x14ac:dyDescent="0.3">
      <c r="C54" s="53"/>
      <c r="D54" s="11" t="s">
        <v>18</v>
      </c>
      <c r="E54" s="12">
        <f>F53</f>
        <v>46074</v>
      </c>
      <c r="F54" s="12">
        <f>E54+1</f>
        <v>46075</v>
      </c>
      <c r="G54" s="18">
        <f>IF(DATEDIF(E56,F56,"d")=0,1,DATEDIF(E56,F56,"d"))</f>
        <v>1</v>
      </c>
      <c r="H54" s="30"/>
      <c r="I54" s="24"/>
      <c r="J54" s="24"/>
      <c r="K54" s="24"/>
      <c r="L54" s="24"/>
      <c r="M54" s="24"/>
      <c r="N54" s="24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6"/>
    </row>
    <row r="55" spans="1:63" ht="19.95" customHeight="1" x14ac:dyDescent="0.3">
      <c r="C55" s="52" t="s">
        <v>23</v>
      </c>
      <c r="D55" s="8"/>
      <c r="G55" s="18" t="s">
        <v>19</v>
      </c>
      <c r="H55" s="30"/>
      <c r="I55" s="24"/>
      <c r="J55" s="24"/>
      <c r="K55" s="24"/>
      <c r="L55" s="24"/>
      <c r="M55" s="24"/>
      <c r="N55" s="24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  <row r="56" spans="1:63" ht="19.95" customHeight="1" x14ac:dyDescent="0.3">
      <c r="C56" s="52"/>
      <c r="D56" s="9" t="s">
        <v>29</v>
      </c>
      <c r="E56" s="10">
        <f>F53+1</f>
        <v>46075</v>
      </c>
      <c r="F56" s="10">
        <f>E56+1</f>
        <v>46076</v>
      </c>
      <c r="G56" s="19">
        <f t="shared" ref="G56:G61" si="5">IF(DATEDIF(E57,F57,"d")=0,1,DATEDIF(E57,F57,"d"))</f>
        <v>1</v>
      </c>
      <c r="H56" s="30"/>
      <c r="I56" s="24"/>
      <c r="J56" s="24"/>
      <c r="K56" s="24"/>
      <c r="L56" s="24"/>
      <c r="M56" s="24"/>
      <c r="N56" s="24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6"/>
    </row>
    <row r="57" spans="1:63" ht="19.95" customHeight="1" x14ac:dyDescent="0.3">
      <c r="C57" s="52"/>
      <c r="D57" s="11" t="s">
        <v>38</v>
      </c>
      <c r="E57" s="12">
        <f>F56</f>
        <v>46076</v>
      </c>
      <c r="F57" s="12">
        <f>E57+1</f>
        <v>46077</v>
      </c>
      <c r="G57" s="18">
        <f t="shared" si="5"/>
        <v>7</v>
      </c>
      <c r="H57" s="30"/>
      <c r="I57" s="24"/>
      <c r="J57" s="24"/>
      <c r="K57" s="24"/>
      <c r="L57" s="24"/>
      <c r="M57" s="24"/>
      <c r="N57" s="24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7"/>
      <c r="BF57" s="27"/>
      <c r="BG57" s="27"/>
      <c r="BH57" s="27"/>
      <c r="BI57" s="27"/>
      <c r="BJ57" s="25"/>
      <c r="BK57" s="26"/>
    </row>
    <row r="58" spans="1:63" ht="19.95" customHeight="1" x14ac:dyDescent="0.3">
      <c r="C58" s="52"/>
      <c r="D58" s="11" t="s">
        <v>16</v>
      </c>
      <c r="E58" s="12">
        <f>F57</f>
        <v>46077</v>
      </c>
      <c r="F58" s="12">
        <f>E58+7</f>
        <v>46084</v>
      </c>
      <c r="G58" s="18">
        <f t="shared" si="5"/>
        <v>6</v>
      </c>
      <c r="H58" s="30"/>
      <c r="I58" s="24"/>
      <c r="J58" s="24"/>
      <c r="K58" s="24"/>
      <c r="L58" s="24"/>
      <c r="M58" s="24"/>
      <c r="N58" s="24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6"/>
      <c r="BF58" s="47"/>
      <c r="BG58" s="47"/>
      <c r="BH58" s="47"/>
      <c r="BI58" s="48"/>
      <c r="BJ58" s="44"/>
      <c r="BK58" s="26"/>
    </row>
    <row r="59" spans="1:63" ht="19.95" customHeight="1" x14ac:dyDescent="0.3">
      <c r="C59" s="52"/>
      <c r="D59" s="11" t="s">
        <v>17</v>
      </c>
      <c r="E59" s="12">
        <f>E58+3</f>
        <v>46080</v>
      </c>
      <c r="F59" s="12">
        <f>F58+2</f>
        <v>46086</v>
      </c>
      <c r="G59" s="18">
        <f t="shared" si="5"/>
        <v>1</v>
      </c>
      <c r="H59" s="30"/>
      <c r="I59" s="24"/>
      <c r="J59" s="24"/>
      <c r="K59" s="24"/>
      <c r="L59" s="24"/>
      <c r="M59" s="24"/>
      <c r="N59" s="24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1"/>
      <c r="BF59" s="22"/>
      <c r="BG59" s="57"/>
      <c r="BH59" s="47"/>
      <c r="BI59" s="47"/>
      <c r="BJ59" s="48"/>
      <c r="BK59" s="45"/>
    </row>
    <row r="60" spans="1:63" ht="19.95" customHeight="1" x14ac:dyDescent="0.3">
      <c r="C60" s="52"/>
      <c r="D60" s="11" t="s">
        <v>30</v>
      </c>
      <c r="E60" s="12">
        <f>F59+1</f>
        <v>46087</v>
      </c>
      <c r="F60" s="12">
        <f>E60+1</f>
        <v>46088</v>
      </c>
      <c r="G60" s="18">
        <f t="shared" si="5"/>
        <v>1</v>
      </c>
      <c r="H60" s="30"/>
      <c r="I60" s="24"/>
      <c r="J60" s="24"/>
      <c r="K60" s="24"/>
      <c r="L60" s="24"/>
      <c r="M60" s="24"/>
      <c r="N60" s="24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1"/>
      <c r="BH60" s="21"/>
      <c r="BI60" s="21"/>
      <c r="BJ60" s="21"/>
      <c r="BK60" s="26"/>
    </row>
    <row r="61" spans="1:63" ht="19.95" customHeight="1" x14ac:dyDescent="0.3">
      <c r="C61" s="53"/>
      <c r="D61" s="11" t="s">
        <v>18</v>
      </c>
      <c r="E61" s="12">
        <f>F60</f>
        <v>46088</v>
      </c>
      <c r="F61" s="12">
        <f>E61+1</f>
        <v>46089</v>
      </c>
      <c r="G61" s="18">
        <f t="shared" si="5"/>
        <v>1</v>
      </c>
      <c r="H61" s="39"/>
      <c r="I61" s="31"/>
      <c r="J61" s="31"/>
      <c r="K61" s="31"/>
      <c r="L61" s="31"/>
      <c r="M61" s="31"/>
      <c r="N61" s="31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8"/>
    </row>
  </sheetData>
  <mergeCells count="36">
    <mergeCell ref="C55:C61"/>
    <mergeCell ref="O4:U4"/>
    <mergeCell ref="V4:AB4"/>
    <mergeCell ref="AC4:AI4"/>
    <mergeCell ref="AJ4:AP4"/>
    <mergeCell ref="AK37:AN37"/>
    <mergeCell ref="C13:C19"/>
    <mergeCell ref="C20:C26"/>
    <mergeCell ref="C27:C33"/>
    <mergeCell ref="C34:C40"/>
    <mergeCell ref="C41:C47"/>
    <mergeCell ref="D5:F5"/>
    <mergeCell ref="H4:N4"/>
    <mergeCell ref="H7:J7"/>
    <mergeCell ref="H8:I8"/>
    <mergeCell ref="BL4:BR4"/>
    <mergeCell ref="P16:S16"/>
    <mergeCell ref="W23:Z23"/>
    <mergeCell ref="AD30:AG30"/>
    <mergeCell ref="BG59:BJ59"/>
    <mergeCell ref="C48:C54"/>
    <mergeCell ref="AQ4:AW4"/>
    <mergeCell ref="K10:N10"/>
    <mergeCell ref="K11:M11"/>
    <mergeCell ref="Q17:T17"/>
    <mergeCell ref="AE31:AH31"/>
    <mergeCell ref="X24:AA24"/>
    <mergeCell ref="AL38:AO38"/>
    <mergeCell ref="AR44:AV44"/>
    <mergeCell ref="AS45:AV45"/>
    <mergeCell ref="I9:J9"/>
    <mergeCell ref="AY50:BB50"/>
    <mergeCell ref="BF58:BI58"/>
    <mergeCell ref="AX4:BD4"/>
    <mergeCell ref="BE4:BK4"/>
    <mergeCell ref="AZ51:BC51"/>
  </mergeCells>
  <phoneticPr fontId="3" type="noConversion"/>
  <conditionalFormatting sqref="K7:N7 H7:H8 J8:N8 H9:I9 K9:N9 H10:K11 N11 H12:N12">
    <cfRule type="expression" dxfId="8" priority="8">
      <formula>AND(H$5&gt;=$E7,H$5&lt;=$F7)</formula>
    </cfRule>
  </conditionalFormatting>
  <conditionalFormatting sqref="O14:U15 O16:P16 T16:U16 O17:Q17 U17 O18:U19 V21:AB22 V23:W23 AA23:AB23 V24:X24 AB24 V25:AB26">
    <cfRule type="expression" dxfId="7" priority="16">
      <formula>AND(O$5&gt;=$E14,O$5&lt;=$F14)</formula>
    </cfRule>
  </conditionalFormatting>
  <conditionalFormatting sqref="AC28:AI30 AC31:AE31 AI31 AC32:AI32">
    <cfRule type="expression" dxfId="6" priority="7">
      <formula>AND(AC$5&gt;=$E28,AC$5&lt;=$F28)</formula>
    </cfRule>
  </conditionalFormatting>
  <conditionalFormatting sqref="AC33:AI33">
    <cfRule type="expression" dxfId="5" priority="37">
      <formula>AND(AC$5&gt;=#REF!,AC$5&lt;=#REF!)</formula>
    </cfRule>
  </conditionalFormatting>
  <conditionalFormatting sqref="AJ35:AP37 AJ38:AL38 AP38 AJ39:AP39">
    <cfRule type="expression" dxfId="4" priority="6">
      <formula>AND(AJ$5&gt;=$E35,AJ$5&lt;=$F35)</formula>
    </cfRule>
  </conditionalFormatting>
  <conditionalFormatting sqref="AJ40:AP40 AQ47:AW47 AX54:BD54 BE61:BK61">
    <cfRule type="expression" dxfId="3" priority="41">
      <formula>AND(AJ$5&gt;=#REF!,AJ$5&lt;=#REF!)</formula>
    </cfRule>
  </conditionalFormatting>
  <conditionalFormatting sqref="AQ42:AW43 AQ44:AR44 AW44:AW45 AQ45:AS45 AQ46:AW46">
    <cfRule type="expression" dxfId="2" priority="5">
      <formula>AND(AQ$5&gt;=$E42,AQ$5&lt;=$F42)</formula>
    </cfRule>
  </conditionalFormatting>
  <conditionalFormatting sqref="AX48:BD49 AX50:AY50 BC50:BD50 AX51:AZ51 BD51 AX52:BD53">
    <cfRule type="expression" dxfId="1" priority="4">
      <formula>AND(AX$5&gt;=$E49,AX$5&lt;=$F49)</formula>
    </cfRule>
  </conditionalFormatting>
  <conditionalFormatting sqref="BE56:BK57 BE58:BF58 BJ58:BK58 BE59:BG59 BK59 BE60:BK61">
    <cfRule type="expression" dxfId="0" priority="1">
      <formula>AND(BE$5&gt;=$E56,BE$5&lt;=$F56)</formula>
    </cfRule>
  </conditionalFormatting>
  <pageMargins left="0.7" right="0.7" top="0.75" bottom="0.75" header="0.3" footer="0.3"/>
  <pageSetup scale="19" orientation="portrait" r:id="rId1"/>
  <colBreaks count="1" manualBreakCount="1">
    <brk id="63" min="3" max="7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Aabriti Pradhan</dc:creator>
  <cp:lastModifiedBy>Aabriti Pradhan</cp:lastModifiedBy>
  <cp:lastPrinted>2025-12-29T18:34:58Z</cp:lastPrinted>
  <dcterms:created xsi:type="dcterms:W3CDTF">2025-11-29T04:16:43Z</dcterms:created>
  <dcterms:modified xsi:type="dcterms:W3CDTF">2025-12-29T19:04:03Z</dcterms:modified>
</cp:coreProperties>
</file>